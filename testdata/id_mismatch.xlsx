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課題" sheetId="2" r:id="rId2"/>
    <sheet name="試験" sheetId="3" r:id="rId3"/>
    <sheet name="配点" sheetId="4" r:id="rId4"/>
    <sheet name="最終成績" sheetId="5" r:id="rId5"/>
  </sheets>
  <calcPr calcId="124519" fullCalcOnLoad="1"/>
</workbook>
</file>

<file path=xl/sharedStrings.xml><?xml version="1.0" encoding="utf-8"?>
<sst xmlns="http://schemas.openxmlformats.org/spreadsheetml/2006/main" count="41" uniqueCount="21">
  <si>
    <t>学生証番号</t>
  </si>
  <si>
    <t>氏名</t>
  </si>
  <si>
    <t>京都 太郎</t>
  </si>
  <si>
    <t>京産 花子</t>
  </si>
  <si>
    <t>山田 一郎</t>
  </si>
  <si>
    <t>佐藤 次郎</t>
  </si>
  <si>
    <t>鈴木 三子</t>
  </si>
  <si>
    <t>課題の成績</t>
  </si>
  <si>
    <t>課題1</t>
  </si>
  <si>
    <t>課題2</t>
  </si>
  <si>
    <t>合計</t>
  </si>
  <si>
    <t>平均</t>
  </si>
  <si>
    <t>得点</t>
  </si>
  <si>
    <t>1234001</t>
  </si>
  <si>
    <t>1234003</t>
  </si>
  <si>
    <t xml:space="preserve">1234004　</t>
  </si>
  <si>
    <t>項目</t>
  </si>
  <si>
    <t>配点</t>
  </si>
  <si>
    <t>課題</t>
  </si>
  <si>
    <t>試験</t>
  </si>
  <si>
    <t>課題合計(確認)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</si>
</sst>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1234001</v>
      </c>
      <c r="B2" t="s">
        <v>2</v>
      </c>
    </row>
    <row r="3" spans="1:2">
      <c r="A3">
        <v>1234002</v>
      </c>
      <c r="B3" t="s">
        <v>3</v>
      </c>
    </row>
    <row r="4" spans="1:2">
      <c r="A4">
        <v>1234003</v>
      </c>
      <c r="B4" t="s">
        <v>4</v>
      </c>
    </row>
    <row r="5" spans="1:2">
      <c r="A5">
        <v>1234004</v>
      </c>
      <c r="B5" t="s">
        <v>5</v>
      </c>
    </row>
    <row r="6" spans="1:2">
      <c r="A6">
        <v>1234005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7</v>
      </c>
    </row>
    <row r="3" spans="1:5">
      <c r="A3" t="s">
        <v>0</v>
      </c>
      <c r="B3" t="s">
        <v>1</v>
      </c>
      <c r="C3" t="s">
        <v>8</v>
      </c>
      <c r="D3" t="s">
        <v>9</v>
      </c>
      <c r="E3" t="s">
        <v>10</v>
      </c>
    </row>
    <row r="4" spans="1:5">
      <c r="A4">
        <v>1234001</v>
      </c>
      <c r="B4" t="s">
        <v>2</v>
      </c>
      <c r="C4">
        <v>8</v>
      </c>
      <c r="D4">
        <v>9</v>
      </c>
      <c r="E4">
        <f>SUM(C4:D4)</f>
        <v>17</v>
      </c>
    </row>
    <row r="5" spans="1:5">
      <c r="A5">
        <v>1234002</v>
      </c>
      <c r="B5" t="s">
        <v>3</v>
      </c>
      <c r="C5">
        <v>10</v>
      </c>
      <c r="D5">
        <v>8</v>
      </c>
      <c r="E5">
        <f>SUM(C5:D5)</f>
        <v>18</v>
      </c>
    </row>
    <row r="6" spans="1:5">
      <c r="A6">
        <v>1234003</v>
      </c>
      <c r="B6" t="s">
        <v>4</v>
      </c>
      <c r="C6">
        <v>7</v>
      </c>
      <c r="D6">
        <v>10</v>
      </c>
      <c r="E6">
        <f>SUM(C6:D6)</f>
        <v>17</v>
      </c>
    </row>
    <row r="7" spans="1:5">
      <c r="A7">
        <v>1234004</v>
      </c>
      <c r="B7" t="s">
        <v>5</v>
      </c>
      <c r="C7">
        <v>9</v>
      </c>
      <c r="D7">
        <v>5</v>
      </c>
      <c r="E7">
        <f>SUM(C7:D7)</f>
        <v>14</v>
      </c>
    </row>
    <row r="8" spans="1:5">
      <c r="A8">
        <v>1234005</v>
      </c>
      <c r="B8" t="s">
        <v>6</v>
      </c>
      <c r="C8">
        <v>6</v>
      </c>
      <c r="D8">
        <v>7</v>
      </c>
      <c r="E8">
        <f>SUM(C8:D8)</f>
        <v>13</v>
      </c>
    </row>
    <row r="10" spans="1:5">
      <c r="A10" t="s">
        <v>11</v>
      </c>
      <c r="E10">
        <f>AVERAGE(E4:E8)</f>
        <v>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12</v>
      </c>
    </row>
    <row r="2" spans="1:3">
      <c r="A2" t="s">
        <v>13</v>
      </c>
      <c r="B2" t="s">
        <v>2</v>
      </c>
      <c r="C2">
        <v>85</v>
      </c>
    </row>
    <row r="3" spans="1:3">
      <c r="A3">
        <v>1234002</v>
      </c>
      <c r="B3" t="s">
        <v>3</v>
      </c>
      <c r="C3">
        <v>92</v>
      </c>
    </row>
    <row r="4" spans="1:3">
      <c r="A4" t="s">
        <v>14</v>
      </c>
      <c r="B4" t="s">
        <v>4</v>
      </c>
      <c r="C4">
        <v>70</v>
      </c>
    </row>
    <row r="5" spans="1:3">
      <c r="A5" t="s">
        <v>15</v>
      </c>
      <c r="B5" t="s">
        <v>5</v>
      </c>
      <c r="C5">
        <v>64</v>
      </c>
    </row>
    <row r="6" spans="1:3">
      <c r="A6">
        <v>1234005</v>
      </c>
      <c r="B6" t="s">
        <v>6</v>
      </c>
      <c r="C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t="s">
        <v>18</v>
      </c>
      <c r="B2">
        <v>40</v>
      </c>
    </row>
    <row r="3" spans="1:2">
      <c r="A3" t="s">
        <v>19</v>
      </c>
      <c r="B3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18</v>
      </c>
      <c r="D1" t="s">
        <v>19</v>
      </c>
      <c r="E1" t="s">
        <v>10</v>
      </c>
      <c r="F1" t="s">
        <v>20</v>
      </c>
    </row>
    <row r="2" spans="1:6">
      <c r="A2">
        <f>名簿!A2</f>
        <v>1234001</v>
      </c>
      <c r="B2" t="str">
        <f>名簿!B2</f>
        <v>京都 太郎</v>
      </c>
      <c r="C2">
        <f>課題!E4*配点!$B$2/20</f>
        <v>34.0</v>
      </c>
      <c r="D2">
        <f>試験!C2*配点!$B$3/100</f>
        <v>51.0</v>
      </c>
      <c r="E2">
        <f>C2+D2</f>
        <v>85.0</v>
      </c>
      <c r="F2">
        <f>VLOOKUP(A2,課題!$A$4:$E$8,5,FALSE)</f>
        <v>17</v>
      </c>
    </row>
    <row r="3" spans="1:6">
      <c r="A3">
        <f>名簿!A3</f>
        <v>1234002</v>
      </c>
      <c r="B3" t="str">
        <f>名簿!B3</f>
        <v>京産 花子</v>
      </c>
      <c r="C3">
        <f>課題!E5*配点!$B$2/20</f>
        <v>36.0</v>
      </c>
      <c r="D3">
        <f>試験!C3*配点!$B$3/100</f>
        <v>55.2</v>
      </c>
      <c r="E3">
        <f>C3+D3</f>
        <v>91.2</v>
      </c>
      <c r="F3">
        <f>VLOOKUP(A3,課題!$A$4:$E$8,5,FALSE)</f>
        <v>18</v>
      </c>
    </row>
    <row r="4" spans="1:6">
      <c r="A4">
        <f>名簿!A4</f>
        <v>1234003</v>
      </c>
      <c r="B4" t="str">
        <f>名簿!B4</f>
        <v>山田 一郎</v>
      </c>
      <c r="C4">
        <f>課題!E7*配点!$B$2/20</f>
        <v>28.0</v>
      </c>
      <c r="D4">
        <f>試験!C4*配点!$B$3/100</f>
        <v>42.0</v>
      </c>
      <c r="E4">
        <f>C4+D4</f>
        <v>70.0</v>
      </c>
      <c r="F4">
        <f>VLOOKUP(A4,課題!$A$4:$E$8,5,FALSE)</f>
        <v>17</v>
      </c>
    </row>
    <row r="5" spans="1:6">
      <c r="A5">
        <f>名簿!A5</f>
        <v>1234004</v>
      </c>
      <c r="B5" t="str">
        <f>名簿!B5</f>
        <v>佐藤 次郎</v>
      </c>
      <c r="C5">
        <f>課題!E8*配点!$B$2/20</f>
        <v>26.0</v>
      </c>
      <c r="D5">
        <f>試験!C5*配点!$B$3/100</f>
        <v>38.4</v>
      </c>
      <c r="E5">
        <f>C5+D5</f>
        <v>64.4</v>
      </c>
      <c r="F5">
        <f>VLOOKUP(A5,課題!$A$4:$E$8,5,FALSE)</f>
        <v>14</v>
      </c>
    </row>
    <row r="6" spans="1:6">
      <c r="A6">
        <f>名簿!A6</f>
        <v>1234005</v>
      </c>
      <c r="B6" t="str">
        <f>名簿!B6</f>
        <v>鈴木 三子</v>
      </c>
      <c r="C6">
        <f>課題!E9*配点!$B$2/20</f>
        <v>0</v>
      </c>
      <c r="D6">
        <f>試験!C6*配点!$B$3/100</f>
        <v>46.2</v>
      </c>
      <c r="E6">
        <f>C6+D6</f>
        <v>46.2</v>
      </c>
      <c r="F6">
        <f>VLOOKUP(A6,課題!$A$4:$E$8,5,FALSE)</f>
        <v>13</v>
      </c>
    </row>
    <row r="8" spans="1:6">
      <c r="A8" t="s">
        <v>11</v>
      </c>
      <c r="D8">
        <f>AVERAGE(試験!C2:C6)*配点!$B$3/100</f>
        <v>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名簿</vt:lpstr>
      <vt:lpstr>課題</vt:lpstr>
      <vt:lpstr>試験</vt:lpstr>
      <vt:lpstr>配点</vt:lpstr>
      <vt:lpstr>最終成績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