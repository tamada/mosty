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</sheets>
  <definedNames>
    <definedName name="課題合計">課題!$E$4:$E$8</definedName>
  </definedNames>
  <calcPr calcId="124519" fullCalcOnLoad="1"/>
</workbook>
</file>

<file path=xl/sharedStrings.xml><?xml version="1.0" encoding="utf-8"?>
<sst xmlns="http://schemas.openxmlformats.org/spreadsheetml/2006/main" count="42" uniqueCount="22">
  <si>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</si>
  <si>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</si>
  <si>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</si>
  <si>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</si>
  <si>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</si>
  <si>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</si>
  <si>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</si>
  <si>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課題の成績</t>
  </si>
  <si>
    <t>課題1</t>
  </si>
  <si>
    <t>課題2</t>
  </si>
  <si>
    <t>合計</t>
  </si>
  <si>
    <t>平均</t>
  </si>
  <si>
    <t>得点</t>
  </si>
  <si>
    <t>1234001</t>
  </si>
  <si>
    <t>1234003</t>
  </si>
  <si>
    <t xml:space="preserve">1234004　</t>
  </si>
  <si>
    <t>項目</t>
  </si>
  <si>
    <t>配点</t>
  </si>
  <si>
    <t>課題</t>
  </si>
  <si>
    <t>試験</t>
  </si>
  <si>
    <t>課題合計(確認)</t>
  </si>
  <si>
    <t>確認用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</si>
</sst>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7</v>
      </c>
    </row>
    <row r="3" spans="1:5">
      <c r="A3" t="s">
        <v>0</v>
      </c>
      <c r="B3" t="s">
        <v>1</v>
      </c>
      <c r="C3" t="s">
        <v>8</v>
      </c>
      <c r="D3" t="s">
        <v>9</v>
      </c>
      <c r="E3" t="s">
        <v>10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11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12</v>
      </c>
    </row>
    <row r="2" spans="1:3">
      <c r="A2" t="s">
        <v>13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14</v>
      </c>
      <c r="B4" t="s">
        <v>4</v>
      </c>
      <c r="C4">
        <v>70</v>
      </c>
    </row>
    <row r="5" spans="1:3">
      <c r="A5" t="s">
        <v>15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>
        <v>40</v>
      </c>
    </row>
    <row r="3" spans="1:2">
      <c r="A3" t="s">
        <v>19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18</v>
      </c>
      <c r="D1" t="s">
        <v>19</v>
      </c>
      <c r="E1" t="s">
        <v>10</v>
      </c>
      <c r="F1" t="s">
        <v>20</v>
      </c>
      <c r="G1" t="s">
        <v>21</v>
      </c>
    </row>
    <row r="2" spans="1:7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  <c r="G2">
        <f>INDIRECT("課題!E"&amp;(ROW()+2))</f>
        <v>17</v>
      </c>
    </row>
    <row r="3" spans="1:7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  <c r="G3">
        <f>OFFSET(課題!$E$4,1,0)</f>
        <v>18</v>
      </c>
    </row>
    <row r="4" spans="1:7">
      <c r="A4">
        <f>名簿!A4</f>
        <v>1234003</v>
      </c>
      <c r="B4" t="str">
        <f>名簿!B4</f>
        <v>山田 一郎</v>
      </c>
      <c r="C4">
        <f>課題!E6*配点!$B$2/20</f>
        <v>34.0</v>
      </c>
      <c r="D4">
        <f>試験!C4*配点!$B$3/100</f>
        <v>42.0</v>
      </c>
      <c r="E4">
        <f>C4+D4</f>
        <v>76.0</v>
      </c>
      <c r="F4">
        <f>VLOOKUP(A4,課題!$A$4:$E$8,5,FALSE)</f>
        <v>17</v>
      </c>
      <c r="G4">
        <f>SUM(課題合計)</f>
        <v>79</v>
      </c>
    </row>
    <row r="5" spans="1:7">
      <c r="A5">
        <f>名簿!A5</f>
        <v>1234004</v>
      </c>
      <c r="B5" t="str">
        <f>名簿!B5</f>
        <v>佐藤 次郎</v>
      </c>
      <c r="C5">
        <f>課題!E7*配点!$B$2/20</f>
        <v>28.0</v>
      </c>
      <c r="D5">
        <f>試験!C5*配点!$B$3/100</f>
        <v>38.4</v>
      </c>
      <c r="E5">
        <f>C5+D5</f>
        <v>66.4</v>
      </c>
      <c r="F5">
        <f>VLOOKUP(A5,課題!$A$4:$E$8,5,FALSE)</f>
        <v>14</v>
      </c>
    </row>
    <row r="6" spans="1:7">
      <c r="A6">
        <f>名簿!A6</f>
        <v>1234005</v>
      </c>
      <c r="B6" t="str">
        <f>名簿!B6</f>
        <v>鈴木 三子</v>
      </c>
      <c r="C6">
        <f>課題!E8*配点!$B$2/20</f>
        <v>26.0</v>
      </c>
      <c r="D6">
        <f>試験!C6*配点!$B$3/100</f>
        <v>46.2</v>
      </c>
      <c r="E6">
        <f>C6+D6</f>
        <v>72.2</v>
      </c>
      <c r="F6">
        <f>VLOOKUP(A6,課題!$A$4:$E$8,5,FALSE)</f>
        <v>13</v>
      </c>
    </row>
    <row r="8" spans="1:7">
      <c r="A8" t="s">
        <v>11</v>
      </c>
      <c r="D8">
        <f>AVERAGE(試験!C2:C6)*配点!$B$3/100</f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名簿</vt:lpstr>
      <vt:lpstr>課題</vt:lpstr>
      <vt:lpstr>試験</vt:lpstr>
      <vt:lpstr>配点</vt:lpstr>
      <vt:lpstr>最終成績</vt:lpstr>
      <vt:lpstr>課題合計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